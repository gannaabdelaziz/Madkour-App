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nna.abdelaziz\Downloads\The Cashflow Automation\PS3\"/>
    </mc:Choice>
  </mc:AlternateContent>
  <xr:revisionPtr revIDLastSave="0" documentId="13_ncr:1_{230DF74E-2DBF-4DA7-ADA0-80937BAB8519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Assum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" i="1" l="1"/>
  <c r="F100" i="1"/>
  <c r="E100" i="1"/>
  <c r="G115" i="1"/>
  <c r="G114" i="1"/>
  <c r="G108" i="1"/>
  <c r="G107" i="1"/>
  <c r="G106" i="1"/>
  <c r="G105" i="1"/>
  <c r="G104" i="1"/>
  <c r="G103" i="1"/>
  <c r="G102" i="1"/>
  <c r="G101" i="1"/>
  <c r="F115" i="1"/>
  <c r="F114" i="1"/>
  <c r="F108" i="1"/>
  <c r="F107" i="1"/>
  <c r="F106" i="1"/>
  <c r="F105" i="1"/>
  <c r="F104" i="1"/>
  <c r="F103" i="1"/>
  <c r="F102" i="1"/>
  <c r="F101" i="1"/>
  <c r="E115" i="1"/>
  <c r="E114" i="1"/>
  <c r="E108" i="1"/>
  <c r="E107" i="1"/>
  <c r="E106" i="1"/>
  <c r="E105" i="1"/>
  <c r="E104" i="1"/>
  <c r="E103" i="1"/>
  <c r="E102" i="1"/>
  <c r="E101" i="1"/>
</calcChain>
</file>

<file path=xl/sharedStrings.xml><?xml version="1.0" encoding="utf-8"?>
<sst xmlns="http://schemas.openxmlformats.org/spreadsheetml/2006/main" count="135" uniqueCount="97">
  <si>
    <t>PROJECT INFORMATION</t>
  </si>
  <si>
    <t>Parameter</t>
  </si>
  <si>
    <t>Value</t>
  </si>
  <si>
    <t>Notes</t>
  </si>
  <si>
    <t>Project Name</t>
  </si>
  <si>
    <t>e.g., ND10 Substation</t>
  </si>
  <si>
    <t>Project Start Date</t>
  </si>
  <si>
    <t>First month of timeline (e.g., Oct-2024)</t>
  </si>
  <si>
    <t>Number of Months</t>
  </si>
  <si>
    <t>Timeline duration</t>
  </si>
  <si>
    <t>USD to EGP Exchange Rate</t>
  </si>
  <si>
    <t>For EQU equivalent conversion</t>
  </si>
  <si>
    <t>EUR to EGP Exchange Rate</t>
  </si>
  <si>
    <t>CASH IN - PAYMENT TERMS</t>
  </si>
  <si>
    <t>Currency / Category</t>
  </si>
  <si>
    <t>Milestone</t>
  </si>
  <si>
    <t>Percentage (%)</t>
  </si>
  <si>
    <t>Cash Duration (Days)</t>
  </si>
  <si>
    <t>Material USD</t>
  </si>
  <si>
    <t>Site Delivery USD</t>
  </si>
  <si>
    <t>Retention</t>
  </si>
  <si>
    <t>Material EGP</t>
  </si>
  <si>
    <t>Site Delivery EGP</t>
  </si>
  <si>
    <t>Material EUR</t>
  </si>
  <si>
    <t>Site Delivery EUR</t>
  </si>
  <si>
    <t>Services EGP</t>
  </si>
  <si>
    <t>Progress</t>
  </si>
  <si>
    <t>Civil Works EGP</t>
  </si>
  <si>
    <t>CASH OUT - PAYMENT TERMS</t>
  </si>
  <si>
    <t>Advanced Payment PO USD</t>
  </si>
  <si>
    <t>Shipping MAT USD</t>
  </si>
  <si>
    <t>Delivery MAT USD</t>
  </si>
  <si>
    <t>CCC</t>
  </si>
  <si>
    <t>Advanced Payment PO EGP</t>
  </si>
  <si>
    <t>Site Delivery</t>
  </si>
  <si>
    <t>Advanced Payment PO EUR</t>
  </si>
  <si>
    <t>Shipping MAT EUR</t>
  </si>
  <si>
    <t>Delivery MAT EUR</t>
  </si>
  <si>
    <t>Advanced Payment Installation</t>
  </si>
  <si>
    <t>Installation Progress</t>
  </si>
  <si>
    <t>Subcontractor Retention</t>
  </si>
  <si>
    <t>CASH IN SUMMARY - DEDUCTIONS</t>
  </si>
  <si>
    <t>Deduction Type</t>
  </si>
  <si>
    <t>VAT</t>
  </si>
  <si>
    <t>Applied on gross invoicing</t>
  </si>
  <si>
    <t>Advanced Payment Deduction (AP)</t>
  </si>
  <si>
    <t>Deducted from each invoice</t>
  </si>
  <si>
    <t>Stamp Duties &amp; Additional Stamp Duties</t>
  </si>
  <si>
    <t>On net before VAT</t>
  </si>
  <si>
    <t>Governmental Deductions</t>
  </si>
  <si>
    <t>Viva Egypt</t>
  </si>
  <si>
    <t>Overhead Type</t>
  </si>
  <si>
    <t>Applied On</t>
  </si>
  <si>
    <t>Total contract value</t>
  </si>
  <si>
    <t>PS3-220/66/11 KV GIS SS</t>
  </si>
  <si>
    <t>Advanced Payment</t>
  </si>
  <si>
    <t>CASH OUT - INDIRECT COSTS</t>
  </si>
  <si>
    <t>These are fixed-value line items in the Cash Out sheet. Enter the total budget for each.</t>
  </si>
  <si>
    <t>Indirect Cost Item</t>
  </si>
  <si>
    <t>Total Budget (EGP)</t>
  </si>
  <si>
    <t>1. STAFF SALARIES AND WAGES</t>
  </si>
  <si>
    <t>2. EMPLOYER AND/OR ENGINEER REQUIREMENTS</t>
  </si>
  <si>
    <t>3. CONTRACTOR OFFICES AND SITE FACILITIES</t>
  </si>
  <si>
    <t>4. ACCOMMODATION</t>
  </si>
  <si>
    <t>5. MOBILIZATION AND DE-MOBILIZATION</t>
  </si>
  <si>
    <t>6. IT &amp; COMMUNICATIONS</t>
  </si>
  <si>
    <t>7. TRANSPORTATIONS</t>
  </si>
  <si>
    <t>8. GENERAL SITE EQUIPMENT</t>
  </si>
  <si>
    <t>9. SAFETY AND QUALITY REQUIREMENTS</t>
  </si>
  <si>
    <t>10. CONSULTANCIES</t>
  </si>
  <si>
    <t>CASH OUT - PROJECT OVERHEADS</t>
  </si>
  <si>
    <t>Percentage-based costs applied on total contract value, distributed across project timeline.</t>
  </si>
  <si>
    <t>ADVANCE PAYMENT COST</t>
  </si>
  <si>
    <t>PERFORMANCE BOND COST</t>
  </si>
  <si>
    <t>RETENTION COST</t>
  </si>
  <si>
    <t>SOCIAL INSURANCE</t>
  </si>
  <si>
    <t>CASUAL LABOR TAX</t>
  </si>
  <si>
    <t>STAMP DUTIES &amp; ADDITIONAL STAMP DUTIES 2.43%</t>
  </si>
  <si>
    <t>GOVERNMENTAL DEDUCTIONS 0.9%</t>
  </si>
  <si>
    <t>VIVA EGYPT 1%</t>
  </si>
  <si>
    <t>CASH OUT - RISKS &amp; CONTINGENCIES</t>
  </si>
  <si>
    <t>Fixed-value items for project risk reserves and company overheads.</t>
  </si>
  <si>
    <t>Item</t>
  </si>
  <si>
    <t>Total Budget</t>
  </si>
  <si>
    <t>RISKS &amp; CONTINGENCIES</t>
  </si>
  <si>
    <t>Project risk reserve</t>
  </si>
  <si>
    <t>COMPANY OVERHEADS</t>
  </si>
  <si>
    <t>Corporate overhead allocation</t>
  </si>
  <si>
    <t>10. WARRANITY PERIOD COST</t>
  </si>
  <si>
    <t>(EGP)</t>
  </si>
  <si>
    <t>(EUR)</t>
  </si>
  <si>
    <t>(USD)</t>
  </si>
  <si>
    <t>CONTRACT VALUE</t>
  </si>
  <si>
    <t>INSURANCE POLICIES</t>
  </si>
  <si>
    <t>SERVICES - EQ - LABOUR</t>
  </si>
  <si>
    <t>Currency / Budget Catergory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</si>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</sst>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[$USD]\ #,##0"/>
    <numFmt numFmtId="166" formatCode="[$EUR]\ #,##0"/>
    <numFmt numFmtId="167" formatCode="[$EGP]\ #,##0"/>
  </numFmts>
  <fonts count="10" x14ac:knownFonts="1">
    <font>
      <sz val="11"/>
      <color theme="1"/>
      <name val="Calibri"/>
      <family val="2"/>
      <scheme val="minor"/>
    </font>
    <font>
      <b/>
      <sz val="11"/>
      <color rgb="FF2F5496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b/>
      <sz val="10"/>
      <color rgb="FF2F5496"/>
      <name val="Arial"/>
      <family val="2"/>
    </font>
    <font>
      <b/>
      <i/>
      <sz val="10"/>
      <color rgb="FFC00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xfId="0"/>
    <xf numFmtId="0" fontId="7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0" fillId="0" borderId="1" xfId="0" applyBorder="1"/>
    <xf numFmtId="9" fontId="4" fillId="3" borderId="1" xfId="0" applyNumberFormat="1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vertical="center"/>
    </xf>
    <xf numFmtId="3" fontId="4" fillId="3" borderId="1" xfId="0" applyNumberFormat="1" applyFont="1" applyFill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4" fillId="3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 3 2" xfId="1" xr:uid="{56420F02-0385-4620-8526-541992FA1F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15"/>
  <sheetViews>
    <sheetView tabSelected="1" topLeftCell="A44" zoomScale="90" zoomScaleNormal="90" workbookViewId="0">
      <selection activeCell="B65" sqref="B65"/>
    </sheetView>
  </sheetViews>
  <sheetFormatPr defaultRowHeight="14.4" x14ac:dyDescent="0.3"/>
  <cols>
    <col min="1" max="1" width="5" customWidth="1"/>
    <col min="2" max="2" width="22.109375" customWidth="1"/>
    <col min="3" max="3" width="29.44140625" customWidth="1"/>
    <col min="4" max="4" width="22" customWidth="1"/>
    <col min="5" max="5" width="24.88671875" customWidth="1"/>
    <col min="6" max="6" width="22.5546875" customWidth="1"/>
    <col min="7" max="7" width="24.33203125" customWidth="1"/>
  </cols>
  <sheetData>
    <row r="1" spans="2:4" x14ac:dyDescent="0.3">
      <c r="B1" s="1"/>
    </row>
    <row r="2" spans="2:4" x14ac:dyDescent="0.3">
      <c r="B2" s="2" t="s">
        <v>0</v>
      </c>
    </row>
    <row r="3" spans="2:4" ht="15.6" x14ac:dyDescent="0.3">
      <c r="B3" s="3" t="s">
        <v>1</v>
      </c>
      <c r="C3" s="3" t="s">
        <v>2</v>
      </c>
      <c r="D3" s="3" t="s">
        <v>3</v>
      </c>
    </row>
    <row r="4" spans="2:4" x14ac:dyDescent="0.3">
      <c r="B4" s="4" t="s">
        <v>4</v>
      </c>
      <c r="C4" s="11" t="s">
        <v>54</v>
      </c>
      <c r="D4" s="6" t="s">
        <v>5</v>
      </c>
    </row>
    <row r="5" spans="2:4" x14ac:dyDescent="0.3">
      <c r="B5" s="4" t="s">
        <v>6</v>
      </c>
      <c r="C5" s="12">
        <v>46089</v>
      </c>
      <c r="D5" s="6" t="s">
        <v>7</v>
      </c>
    </row>
    <row r="6" spans="2:4" x14ac:dyDescent="0.3">
      <c r="B6" s="4" t="s">
        <v>8</v>
      </c>
      <c r="C6" s="5">
        <v>15</v>
      </c>
      <c r="D6" s="6" t="s">
        <v>9</v>
      </c>
    </row>
    <row r="7" spans="2:4" x14ac:dyDescent="0.3">
      <c r="B7" s="4" t="s">
        <v>10</v>
      </c>
      <c r="C7" s="5">
        <v>47.63</v>
      </c>
      <c r="D7" s="6" t="s">
        <v>11</v>
      </c>
    </row>
    <row r="8" spans="2:4" x14ac:dyDescent="0.3">
      <c r="B8" s="4" t="s">
        <v>12</v>
      </c>
      <c r="C8" s="5">
        <v>55.474699999999999</v>
      </c>
      <c r="D8" s="6" t="s">
        <v>11</v>
      </c>
    </row>
    <row r="9" spans="2:4" x14ac:dyDescent="0.3">
      <c r="B9" s="1"/>
    </row>
    <row r="10" spans="2:4" x14ac:dyDescent="0.3">
      <c r="B10" s="1"/>
    </row>
    <row r="11" spans="2:4" x14ac:dyDescent="0.3">
      <c r="B11" s="2" t="s">
        <v>92</v>
      </c>
    </row>
    <row r="12" spans="2:4" ht="15.6" x14ac:dyDescent="0.3">
      <c r="B12" s="3" t="s">
        <v>91</v>
      </c>
      <c r="C12" s="3" t="s">
        <v>90</v>
      </c>
      <c r="D12" s="3" t="s">
        <v>89</v>
      </c>
    </row>
    <row r="13" spans="2:4" x14ac:dyDescent="0.3">
      <c r="B13" s="16">
        <v>13147360.999895236</v>
      </c>
      <c r="C13" s="17">
        <v>1435206.9996988187</v>
      </c>
      <c r="D13" s="18">
        <v>670173518.00003171</v>
      </c>
    </row>
    <row r="14" spans="2:4" x14ac:dyDescent="0.3">
      <c r="B14" s="15"/>
      <c r="C14" s="15"/>
      <c r="D14" s="6"/>
    </row>
    <row r="15" spans="2:4" x14ac:dyDescent="0.3">
      <c r="B15" s="15"/>
      <c r="C15" s="15"/>
      <c r="D15" s="6"/>
    </row>
    <row r="16" spans="2:4" x14ac:dyDescent="0.3">
      <c r="B16" s="1"/>
    </row>
    <row r="17" spans="2:5" x14ac:dyDescent="0.3">
      <c r="B17" s="2" t="s">
        <v>13</v>
      </c>
    </row>
    <row r="18" spans="2:5" ht="31.2" x14ac:dyDescent="0.3">
      <c r="B18" s="3" t="s">
        <v>14</v>
      </c>
      <c r="C18" s="3" t="s">
        <v>15</v>
      </c>
      <c r="D18" s="3" t="s">
        <v>16</v>
      </c>
      <c r="E18" s="3" t="s">
        <v>17</v>
      </c>
    </row>
    <row r="19" spans="2:5" x14ac:dyDescent="0.3">
      <c r="B19" s="7" t="s">
        <v>18</v>
      </c>
      <c r="C19" s="8"/>
      <c r="D19" s="8"/>
      <c r="E19" s="8"/>
    </row>
    <row r="20" spans="2:5" x14ac:dyDescent="0.3">
      <c r="C20" s="13" t="s">
        <v>55</v>
      </c>
      <c r="D20" s="9">
        <v>0.2</v>
      </c>
      <c r="E20" s="5">
        <v>45</v>
      </c>
    </row>
    <row r="21" spans="2:5" x14ac:dyDescent="0.3">
      <c r="C21" s="13" t="s">
        <v>19</v>
      </c>
      <c r="D21" s="9">
        <v>0.7</v>
      </c>
      <c r="E21" s="5">
        <v>45</v>
      </c>
    </row>
    <row r="22" spans="2:5" x14ac:dyDescent="0.3">
      <c r="C22" s="4" t="s">
        <v>20</v>
      </c>
      <c r="D22" s="9">
        <v>0.1</v>
      </c>
      <c r="E22" s="5">
        <v>45</v>
      </c>
    </row>
    <row r="24" spans="2:5" x14ac:dyDescent="0.3">
      <c r="B24" s="7" t="s">
        <v>21</v>
      </c>
      <c r="C24" s="8"/>
      <c r="D24" s="8"/>
      <c r="E24" s="8"/>
    </row>
    <row r="25" spans="2:5" x14ac:dyDescent="0.3">
      <c r="C25" s="4" t="s">
        <v>55</v>
      </c>
      <c r="D25" s="9">
        <v>0.2</v>
      </c>
      <c r="E25" s="5">
        <v>45</v>
      </c>
    </row>
    <row r="26" spans="2:5" x14ac:dyDescent="0.3">
      <c r="C26" s="13" t="s">
        <v>22</v>
      </c>
      <c r="D26" s="9">
        <v>0.7</v>
      </c>
      <c r="E26" s="5">
        <v>45</v>
      </c>
    </row>
    <row r="27" spans="2:5" x14ac:dyDescent="0.3">
      <c r="C27" s="4" t="s">
        <v>20</v>
      </c>
      <c r="D27" s="9">
        <v>0.1</v>
      </c>
      <c r="E27" s="5">
        <v>45</v>
      </c>
    </row>
    <row r="29" spans="2:5" x14ac:dyDescent="0.3">
      <c r="B29" s="7" t="s">
        <v>23</v>
      </c>
      <c r="C29" s="8"/>
      <c r="D29" s="8"/>
      <c r="E29" s="8"/>
    </row>
    <row r="30" spans="2:5" x14ac:dyDescent="0.3">
      <c r="C30" s="4" t="s">
        <v>55</v>
      </c>
      <c r="D30" s="9">
        <v>0.2</v>
      </c>
      <c r="E30" s="5">
        <v>45</v>
      </c>
    </row>
    <row r="31" spans="2:5" x14ac:dyDescent="0.3">
      <c r="C31" s="4" t="s">
        <v>24</v>
      </c>
      <c r="D31" s="9">
        <v>0.7</v>
      </c>
      <c r="E31" s="5">
        <v>45</v>
      </c>
    </row>
    <row r="32" spans="2:5" x14ac:dyDescent="0.3">
      <c r="C32" s="4" t="s">
        <v>20</v>
      </c>
      <c r="D32" s="9">
        <v>0.1</v>
      </c>
      <c r="E32" s="5">
        <v>45</v>
      </c>
    </row>
    <row r="34" spans="2:5" x14ac:dyDescent="0.3">
      <c r="B34" s="7" t="s">
        <v>25</v>
      </c>
      <c r="C34" s="8"/>
      <c r="D34" s="8"/>
      <c r="E34" s="8"/>
    </row>
    <row r="35" spans="2:5" x14ac:dyDescent="0.3">
      <c r="C35" s="4" t="s">
        <v>55</v>
      </c>
      <c r="D35" s="9">
        <v>0.2</v>
      </c>
      <c r="E35" s="5">
        <v>45</v>
      </c>
    </row>
    <row r="36" spans="2:5" x14ac:dyDescent="0.3">
      <c r="C36" s="13" t="s">
        <v>26</v>
      </c>
      <c r="D36" s="9">
        <v>0.7</v>
      </c>
      <c r="E36" s="5">
        <v>45</v>
      </c>
    </row>
    <row r="37" spans="2:5" x14ac:dyDescent="0.3">
      <c r="C37" s="4" t="s">
        <v>20</v>
      </c>
      <c r="D37" s="9">
        <v>0.1</v>
      </c>
      <c r="E37" s="5">
        <v>45</v>
      </c>
    </row>
    <row r="39" spans="2:5" x14ac:dyDescent="0.3">
      <c r="B39" s="7" t="s">
        <v>27</v>
      </c>
      <c r="C39" s="8"/>
      <c r="D39" s="8"/>
      <c r="E39" s="8"/>
    </row>
    <row r="40" spans="2:5" x14ac:dyDescent="0.3">
      <c r="C40" s="4" t="s">
        <v>55</v>
      </c>
      <c r="D40" s="9">
        <v>0.2</v>
      </c>
      <c r="E40" s="5">
        <v>45</v>
      </c>
    </row>
    <row r="41" spans="2:5" x14ac:dyDescent="0.3">
      <c r="C41" s="4" t="s">
        <v>26</v>
      </c>
      <c r="D41" s="9">
        <v>0.7</v>
      </c>
      <c r="E41" s="5">
        <v>45</v>
      </c>
    </row>
    <row r="42" spans="2:5" x14ac:dyDescent="0.3">
      <c r="C42" s="4" t="s">
        <v>20</v>
      </c>
      <c r="D42" s="9">
        <v>0.1</v>
      </c>
      <c r="E42" s="5">
        <v>45</v>
      </c>
    </row>
    <row r="45" spans="2:5" x14ac:dyDescent="0.3">
      <c r="B45" s="2" t="s">
        <v>28</v>
      </c>
    </row>
    <row r="46" spans="2:5" ht="15.6" x14ac:dyDescent="0.3">
      <c r="B46" s="3" t="s">
        <v>95</v>
      </c>
      <c r="C46" s="3" t="s">
        <v>15</v>
      </c>
      <c r="D46" s="3" t="s">
        <v>16</v>
      </c>
      <c r="E46" s="3" t="s">
        <v>17</v>
      </c>
    </row>
    <row r="47" spans="2:5" x14ac:dyDescent="0.3">
      <c r="B47" s="7" t="s">
        <v>18</v>
      </c>
      <c r="C47" s="8"/>
      <c r="D47" s="8"/>
      <c r="E47" s="8"/>
    </row>
    <row r="48" spans="2:5" x14ac:dyDescent="0.3">
      <c r="C48" s="4" t="s">
        <v>29</v>
      </c>
      <c r="D48" s="9">
        <v>0.1</v>
      </c>
      <c r="E48" s="5">
        <v>0</v>
      </c>
    </row>
    <row r="49" spans="2:5" x14ac:dyDescent="0.3">
      <c r="C49" s="4" t="s">
        <v>30</v>
      </c>
      <c r="D49" s="9">
        <v>0.4</v>
      </c>
      <c r="E49" s="5">
        <v>15</v>
      </c>
    </row>
    <row r="50" spans="2:5" x14ac:dyDescent="0.3">
      <c r="C50" s="4" t="s">
        <v>31</v>
      </c>
      <c r="D50" s="9">
        <v>0.4</v>
      </c>
      <c r="E50" s="5">
        <v>30</v>
      </c>
    </row>
    <row r="51" spans="2:5" x14ac:dyDescent="0.3">
      <c r="C51" s="4" t="s">
        <v>32</v>
      </c>
      <c r="D51" s="9">
        <v>0.1</v>
      </c>
      <c r="E51" s="5">
        <v>0</v>
      </c>
    </row>
    <row r="53" spans="2:5" x14ac:dyDescent="0.3">
      <c r="B53" s="7" t="s">
        <v>21</v>
      </c>
      <c r="C53" s="8"/>
      <c r="D53" s="8"/>
      <c r="E53" s="8"/>
    </row>
    <row r="54" spans="2:5" x14ac:dyDescent="0.3">
      <c r="C54" s="4" t="s">
        <v>33</v>
      </c>
      <c r="D54" s="9">
        <v>0.2</v>
      </c>
      <c r="E54" s="5">
        <v>0</v>
      </c>
    </row>
    <row r="55" spans="2:5" x14ac:dyDescent="0.3">
      <c r="C55" s="4" t="s">
        <v>34</v>
      </c>
      <c r="D55" s="9">
        <v>0.8</v>
      </c>
      <c r="E55" s="5">
        <v>30</v>
      </c>
    </row>
    <row r="57" spans="2:5" x14ac:dyDescent="0.3">
      <c r="B57" s="7" t="s">
        <v>23</v>
      </c>
      <c r="C57" s="8"/>
      <c r="D57" s="8"/>
      <c r="E57" s="8"/>
    </row>
    <row r="58" spans="2:5" x14ac:dyDescent="0.3">
      <c r="C58" s="4" t="s">
        <v>35</v>
      </c>
      <c r="D58" s="9">
        <v>0.1</v>
      </c>
      <c r="E58" s="5">
        <v>0</v>
      </c>
    </row>
    <row r="59" spans="2:5" x14ac:dyDescent="0.3">
      <c r="C59" s="4" t="s">
        <v>36</v>
      </c>
      <c r="D59" s="9">
        <v>0.4</v>
      </c>
      <c r="E59" s="5">
        <v>15</v>
      </c>
    </row>
    <row r="60" spans="2:5" x14ac:dyDescent="0.3">
      <c r="C60" s="4" t="s">
        <v>37</v>
      </c>
      <c r="D60" s="9">
        <v>0.4</v>
      </c>
      <c r="E60" s="5">
        <v>30</v>
      </c>
    </row>
    <row r="61" spans="2:5" x14ac:dyDescent="0.3">
      <c r="C61" s="4" t="s">
        <v>32</v>
      </c>
      <c r="D61" s="9">
        <v>0.1</v>
      </c>
      <c r="E61" s="5">
        <v>0</v>
      </c>
    </row>
    <row r="63" spans="2:5" x14ac:dyDescent="0.3">
      <c r="B63" s="7" t="s">
        <v>96</v>
      </c>
      <c r="C63" s="8"/>
      <c r="D63" s="8"/>
      <c r="E63" s="8"/>
    </row>
    <row r="64" spans="2:5" x14ac:dyDescent="0.3">
      <c r="C64" s="4" t="s">
        <v>38</v>
      </c>
      <c r="D64" s="9">
        <v>0.05</v>
      </c>
      <c r="E64" s="5">
        <v>0</v>
      </c>
    </row>
    <row r="65" spans="2:5" x14ac:dyDescent="0.3">
      <c r="C65" s="4" t="s">
        <v>39</v>
      </c>
      <c r="D65" s="9">
        <v>0.85</v>
      </c>
      <c r="E65" s="5">
        <v>30</v>
      </c>
    </row>
    <row r="66" spans="2:5" x14ac:dyDescent="0.3">
      <c r="C66" s="4" t="s">
        <v>40</v>
      </c>
      <c r="D66" s="9">
        <v>0.1</v>
      </c>
      <c r="E66" s="5">
        <v>0</v>
      </c>
    </row>
    <row r="68" spans="2:5" x14ac:dyDescent="0.3">
      <c r="B68" s="7" t="s">
        <v>94</v>
      </c>
      <c r="C68" s="8"/>
      <c r="D68" s="8"/>
      <c r="E68" s="8"/>
    </row>
    <row r="69" spans="2:5" x14ac:dyDescent="0.3">
      <c r="C69" s="4" t="s">
        <v>38</v>
      </c>
      <c r="D69" s="9">
        <v>0.1</v>
      </c>
      <c r="E69" s="5">
        <v>0</v>
      </c>
    </row>
    <row r="70" spans="2:5" x14ac:dyDescent="0.3">
      <c r="C70" s="4" t="s">
        <v>26</v>
      </c>
      <c r="D70" s="9">
        <v>0.9</v>
      </c>
      <c r="E70" s="5">
        <v>30</v>
      </c>
    </row>
    <row r="72" spans="2:5" x14ac:dyDescent="0.3">
      <c r="B72" s="2" t="s">
        <v>41</v>
      </c>
    </row>
    <row r="73" spans="2:5" ht="15.6" x14ac:dyDescent="0.3">
      <c r="B73" s="3" t="s">
        <v>42</v>
      </c>
      <c r="C73" s="3" t="s">
        <v>16</v>
      </c>
      <c r="D73" s="3" t="s">
        <v>3</v>
      </c>
    </row>
    <row r="74" spans="2:5" x14ac:dyDescent="0.3">
      <c r="B74" s="4" t="s">
        <v>43</v>
      </c>
      <c r="C74" s="10">
        <v>0</v>
      </c>
      <c r="D74" s="6" t="s">
        <v>44</v>
      </c>
    </row>
    <row r="75" spans="2:5" x14ac:dyDescent="0.3">
      <c r="B75" s="4" t="s">
        <v>45</v>
      </c>
      <c r="C75" s="10">
        <v>0</v>
      </c>
      <c r="D75" s="6" t="s">
        <v>46</v>
      </c>
    </row>
    <row r="76" spans="2:5" x14ac:dyDescent="0.3">
      <c r="B76" s="4" t="s">
        <v>47</v>
      </c>
      <c r="C76" s="10">
        <v>0</v>
      </c>
      <c r="D76" s="6" t="s">
        <v>48</v>
      </c>
    </row>
    <row r="77" spans="2:5" x14ac:dyDescent="0.3">
      <c r="B77" s="4" t="s">
        <v>49</v>
      </c>
      <c r="C77" s="10">
        <v>8.9999999999995743E-3</v>
      </c>
      <c r="D77" s="6"/>
    </row>
    <row r="78" spans="2:5" x14ac:dyDescent="0.3">
      <c r="B78" s="4" t="s">
        <v>50</v>
      </c>
      <c r="C78" s="10">
        <v>0</v>
      </c>
      <c r="D78" s="6"/>
    </row>
    <row r="81" spans="2:4" x14ac:dyDescent="0.3">
      <c r="B81" s="2" t="s">
        <v>56</v>
      </c>
    </row>
    <row r="82" spans="2:4" x14ac:dyDescent="0.3">
      <c r="B82" s="6" t="s">
        <v>57</v>
      </c>
    </row>
    <row r="83" spans="2:4" ht="15.6" x14ac:dyDescent="0.3">
      <c r="B83" s="3" t="s">
        <v>58</v>
      </c>
      <c r="C83" s="3" t="s">
        <v>59</v>
      </c>
      <c r="D83" s="3" t="s">
        <v>3</v>
      </c>
    </row>
    <row r="84" spans="2:4" x14ac:dyDescent="0.3">
      <c r="B84" s="4" t="s">
        <v>60</v>
      </c>
      <c r="C84" s="14">
        <v>13553062</v>
      </c>
      <c r="D84" s="6"/>
    </row>
    <row r="85" spans="2:4" x14ac:dyDescent="0.3">
      <c r="B85" s="4" t="s">
        <v>61</v>
      </c>
      <c r="C85" s="14">
        <v>441458.33333333331</v>
      </c>
      <c r="D85" s="6"/>
    </row>
    <row r="86" spans="2:4" x14ac:dyDescent="0.3">
      <c r="B86" s="4" t="s">
        <v>62</v>
      </c>
      <c r="C86" s="14">
        <v>3354125</v>
      </c>
      <c r="D86" s="6"/>
    </row>
    <row r="87" spans="2:4" x14ac:dyDescent="0.3">
      <c r="B87" s="4" t="s">
        <v>63</v>
      </c>
      <c r="C87" s="14">
        <v>2926250</v>
      </c>
      <c r="D87" s="6"/>
    </row>
    <row r="88" spans="2:4" x14ac:dyDescent="0.3">
      <c r="B88" s="4" t="s">
        <v>64</v>
      </c>
      <c r="C88" s="14">
        <v>160000</v>
      </c>
      <c r="D88" s="6"/>
    </row>
    <row r="89" spans="2:4" x14ac:dyDescent="0.3">
      <c r="B89" s="4" t="s">
        <v>65</v>
      </c>
      <c r="C89" s="14">
        <v>147083.33333333331</v>
      </c>
      <c r="D89" s="6"/>
    </row>
    <row r="90" spans="2:4" x14ac:dyDescent="0.3">
      <c r="B90" s="4" t="s">
        <v>66</v>
      </c>
      <c r="C90" s="14">
        <v>6000000</v>
      </c>
      <c r="D90" s="6"/>
    </row>
    <row r="91" spans="2:4" x14ac:dyDescent="0.3">
      <c r="B91" s="4" t="s">
        <v>67</v>
      </c>
      <c r="C91" s="14">
        <v>0</v>
      </c>
      <c r="D91" s="6"/>
    </row>
    <row r="92" spans="2:4" x14ac:dyDescent="0.3">
      <c r="B92" s="4" t="s">
        <v>68</v>
      </c>
      <c r="C92" s="14">
        <v>647500</v>
      </c>
      <c r="D92" s="6"/>
    </row>
    <row r="93" spans="2:4" x14ac:dyDescent="0.3">
      <c r="B93" s="4" t="s">
        <v>69</v>
      </c>
      <c r="C93" s="14">
        <v>213325</v>
      </c>
      <c r="D93" s="6"/>
    </row>
    <row r="94" spans="2:4" x14ac:dyDescent="0.3">
      <c r="B94" s="4" t="s">
        <v>88</v>
      </c>
      <c r="C94" s="14">
        <v>300000</v>
      </c>
      <c r="D94" s="6"/>
    </row>
    <row r="97" spans="2:7" x14ac:dyDescent="0.3">
      <c r="B97" s="2" t="s">
        <v>70</v>
      </c>
    </row>
    <row r="98" spans="2:7" x14ac:dyDescent="0.3">
      <c r="B98" s="6" t="s">
        <v>71</v>
      </c>
    </row>
    <row r="99" spans="2:7" ht="15.6" x14ac:dyDescent="0.3">
      <c r="B99" s="3" t="s">
        <v>51</v>
      </c>
      <c r="C99" s="3" t="s">
        <v>16</v>
      </c>
      <c r="D99" s="3" t="s">
        <v>52</v>
      </c>
      <c r="E99" s="3" t="s">
        <v>91</v>
      </c>
      <c r="F99" s="3" t="s">
        <v>90</v>
      </c>
      <c r="G99" s="3" t="s">
        <v>89</v>
      </c>
    </row>
    <row r="100" spans="2:7" x14ac:dyDescent="0.3">
      <c r="B100" s="4" t="s">
        <v>93</v>
      </c>
      <c r="C100" s="10">
        <v>5.0000000000000001E-3</v>
      </c>
      <c r="D100" s="6" t="s">
        <v>53</v>
      </c>
      <c r="E100" s="16">
        <f>C100*$B$13</f>
        <v>65736.804999476182</v>
      </c>
      <c r="F100" s="17">
        <f>C100*$C$13</f>
        <v>7176.0349984940931</v>
      </c>
      <c r="G100" s="18">
        <f>C100*$D$13</f>
        <v>3350867.5900001586</v>
      </c>
    </row>
    <row r="101" spans="2:7" x14ac:dyDescent="0.3">
      <c r="B101" s="4" t="s">
        <v>72</v>
      </c>
      <c r="C101" s="10">
        <v>1.0000000000079685E-3</v>
      </c>
      <c r="D101" s="6" t="s">
        <v>53</v>
      </c>
      <c r="E101" s="16">
        <f>C101*$B$13</f>
        <v>13147.361000000001</v>
      </c>
      <c r="F101" s="17">
        <f>C101*$C$13</f>
        <v>1435.2069997102551</v>
      </c>
      <c r="G101" s="18">
        <f>C101*$D$13</f>
        <v>670173.51800537203</v>
      </c>
    </row>
    <row r="102" spans="2:7" x14ac:dyDescent="0.3">
      <c r="B102" s="4" t="s">
        <v>73</v>
      </c>
      <c r="C102" s="10">
        <v>2.6000000000207186E-3</v>
      </c>
      <c r="D102" s="6" t="s">
        <v>53</v>
      </c>
      <c r="E102" s="16">
        <f t="shared" ref="E102:E108" si="0">C102*$B$13</f>
        <v>34183.138600000006</v>
      </c>
      <c r="F102" s="17">
        <f t="shared" ref="F102:F108" si="1">C102*$C$13</f>
        <v>3731.5381992466641</v>
      </c>
      <c r="G102" s="18">
        <f t="shared" ref="G102:G108" si="2">C102*$D$13</f>
        <v>1742451.1468139675</v>
      </c>
    </row>
    <row r="103" spans="2:7" x14ac:dyDescent="0.3">
      <c r="B103" s="4" t="s">
        <v>74</v>
      </c>
      <c r="C103" s="10">
        <v>2.6400000000210366E-2</v>
      </c>
      <c r="D103" s="6" t="s">
        <v>53</v>
      </c>
      <c r="E103" s="16">
        <f t="shared" si="0"/>
        <v>347090.33039999998</v>
      </c>
      <c r="F103" s="17">
        <f t="shared" si="1"/>
        <v>37889.464792350729</v>
      </c>
      <c r="G103" s="18">
        <f t="shared" si="2"/>
        <v>17692580.875341818</v>
      </c>
    </row>
    <row r="104" spans="2:7" x14ac:dyDescent="0.3">
      <c r="B104" s="4" t="s">
        <v>75</v>
      </c>
      <c r="C104" s="10">
        <v>1.300000000010359E-2</v>
      </c>
      <c r="D104" s="6" t="s">
        <v>53</v>
      </c>
      <c r="E104" s="16">
        <f t="shared" si="0"/>
        <v>170915.693</v>
      </c>
      <c r="F104" s="17">
        <f t="shared" si="1"/>
        <v>18657.690996233316</v>
      </c>
      <c r="G104" s="18">
        <f t="shared" si="2"/>
        <v>8712255.7340698354</v>
      </c>
    </row>
    <row r="105" spans="2:7" x14ac:dyDescent="0.3">
      <c r="B105" s="4" t="s">
        <v>76</v>
      </c>
      <c r="C105" s="10">
        <v>4.5000000000358581E-3</v>
      </c>
      <c r="D105" s="6" t="s">
        <v>53</v>
      </c>
      <c r="E105" s="16">
        <f t="shared" si="0"/>
        <v>59163.124499999998</v>
      </c>
      <c r="F105" s="17">
        <f t="shared" si="1"/>
        <v>6458.4314986961481</v>
      </c>
      <c r="G105" s="18">
        <f t="shared" si="2"/>
        <v>3015780.8310241736</v>
      </c>
    </row>
    <row r="106" spans="2:7" x14ac:dyDescent="0.3">
      <c r="B106" s="4" t="s">
        <v>77</v>
      </c>
      <c r="C106" s="10">
        <v>0</v>
      </c>
      <c r="D106" s="6" t="s">
        <v>53</v>
      </c>
      <c r="E106" s="16">
        <f t="shared" si="0"/>
        <v>0</v>
      </c>
      <c r="F106" s="17">
        <f t="shared" si="1"/>
        <v>0</v>
      </c>
      <c r="G106" s="18">
        <f t="shared" si="2"/>
        <v>0</v>
      </c>
    </row>
    <row r="107" spans="2:7" x14ac:dyDescent="0.3">
      <c r="B107" s="4" t="s">
        <v>78</v>
      </c>
      <c r="C107" s="10">
        <v>9.0000000000717163E-3</v>
      </c>
      <c r="D107" s="6" t="s">
        <v>53</v>
      </c>
      <c r="E107" s="16">
        <f t="shared" si="0"/>
        <v>118326.249</v>
      </c>
      <c r="F107" s="17">
        <f t="shared" si="1"/>
        <v>12916.862997392296</v>
      </c>
      <c r="G107" s="18">
        <f t="shared" si="2"/>
        <v>6031561.6620483473</v>
      </c>
    </row>
    <row r="108" spans="2:7" x14ac:dyDescent="0.3">
      <c r="B108" s="4" t="s">
        <v>79</v>
      </c>
      <c r="C108" s="10">
        <v>0</v>
      </c>
      <c r="D108" s="6" t="s">
        <v>53</v>
      </c>
      <c r="E108" s="16">
        <f t="shared" si="0"/>
        <v>0</v>
      </c>
      <c r="F108" s="17">
        <f t="shared" si="1"/>
        <v>0</v>
      </c>
      <c r="G108" s="18">
        <f t="shared" si="2"/>
        <v>0</v>
      </c>
    </row>
    <row r="111" spans="2:7" x14ac:dyDescent="0.3">
      <c r="B111" s="2" t="s">
        <v>80</v>
      </c>
    </row>
    <row r="112" spans="2:7" x14ac:dyDescent="0.3">
      <c r="B112" s="6" t="s">
        <v>81</v>
      </c>
    </row>
    <row r="113" spans="2:7" ht="15.6" x14ac:dyDescent="0.3">
      <c r="B113" s="3" t="s">
        <v>82</v>
      </c>
      <c r="C113" s="3" t="s">
        <v>83</v>
      </c>
      <c r="D113" s="3" t="s">
        <v>3</v>
      </c>
      <c r="E113" s="3" t="s">
        <v>91</v>
      </c>
      <c r="F113" s="3" t="s">
        <v>90</v>
      </c>
      <c r="G113" s="3" t="s">
        <v>89</v>
      </c>
    </row>
    <row r="114" spans="2:7" x14ac:dyDescent="0.3">
      <c r="B114" s="4" t="s">
        <v>84</v>
      </c>
      <c r="C114" s="10">
        <v>0.02</v>
      </c>
      <c r="D114" s="6" t="s">
        <v>85</v>
      </c>
      <c r="E114" s="16">
        <f t="shared" ref="E114:E115" si="3">C114*$B$13</f>
        <v>262947.21999790473</v>
      </c>
      <c r="F114" s="17">
        <f t="shared" ref="F114:F115" si="4">C114*$C$13</f>
        <v>28704.139993976372</v>
      </c>
      <c r="G114" s="18">
        <f t="shared" ref="G114:G115" si="5">C114*$D$13</f>
        <v>13403470.360000635</v>
      </c>
    </row>
    <row r="115" spans="2:7" x14ac:dyDescent="0.3">
      <c r="B115" s="4" t="s">
        <v>86</v>
      </c>
      <c r="C115" s="10">
        <v>4.0000000000318746E-2</v>
      </c>
      <c r="D115" s="6" t="s">
        <v>87</v>
      </c>
      <c r="E115" s="16">
        <f t="shared" si="3"/>
        <v>525894.44000000006</v>
      </c>
      <c r="F115" s="17">
        <f t="shared" si="4"/>
        <v>57408.279988410213</v>
      </c>
      <c r="G115" s="18">
        <f t="shared" si="5"/>
        <v>26806940.720214885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Ganna Abdelaziz</cp:lastModifiedBy>
  <dcterms:created xsi:type="dcterms:W3CDTF">2026-04-04T14:25:41Z</dcterms:created>
  <dcterms:modified xsi:type="dcterms:W3CDTF">2026-04-06T07:51:56Z</dcterms:modified>
</cp:coreProperties>
</file>