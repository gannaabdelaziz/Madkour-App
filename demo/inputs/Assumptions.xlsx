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520" windowHeight="12360" tabRatio="600" firstSheet="0" activeTab="0" autoFilterDateGrouping="1"/>
  </bookViews>
  <sheets>
    <sheet name="Assump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d\-mmm\-yyyy;@"/>
    <numFmt numFmtId="165" formatCode="[$USD]\ #,##0"/>
    <numFmt numFmtId="166" formatCode="[$EUR]\ #,##0"/>
    <numFmt numFmtId="167" formatCode="[$EGP]\ #,##0"/>
  </numFmts>
  <fonts count="10">
    <font>
      <name val="Calibri"/>
      <family val="2"/>
      <color theme="1"/>
      <sz val="11"/>
      <scheme val="minor"/>
    </font>
    <font>
      <name val="Arial"/>
      <family val="2"/>
      <b val="1"/>
      <color rgb="FF2F5496"/>
      <sz val="11"/>
    </font>
    <font>
      <name val="Arial"/>
      <family val="2"/>
      <b val="1"/>
      <color rgb="FFFFFFFF"/>
      <sz val="12"/>
    </font>
    <font>
      <name val="Arial"/>
      <family val="2"/>
      <sz val="10"/>
    </font>
    <font>
      <name val="Arial"/>
      <family val="2"/>
      <color rgb="FF0000FF"/>
      <sz val="10"/>
    </font>
    <font>
      <name val="Arial"/>
      <family val="2"/>
      <i val="1"/>
      <color rgb="FF808080"/>
      <sz val="9"/>
    </font>
    <font>
      <name val="Arial"/>
      <family val="2"/>
      <b val="1"/>
      <color rgb="FF2F5496"/>
      <sz val="10"/>
    </font>
    <font>
      <name val="Arial"/>
      <family val="2"/>
      <b val="1"/>
      <i val="1"/>
      <color rgb="FFC00000"/>
      <sz val="10"/>
    </font>
    <font>
      <name val="Arial"/>
      <family val="2"/>
      <color rgb="FF0000FF"/>
      <sz val="10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/>
  </cellStyleXfs>
  <cellXfs count="19">
    <xf numFmtId="0" fontId="0" fillId="0" borderId="0" pivotButton="0" quotePrefix="0" xfId="0"/>
    <xf numFmtId="0" fontId="7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4" fillId="3" borderId="1" applyAlignment="1" pivotButton="0" quotePrefix="0" xfId="0">
      <alignment horizontal="center"/>
    </xf>
    <xf numFmtId="0" fontId="5" fillId="0" borderId="0" pivotButton="0" quotePrefix="0" xfId="0"/>
    <xf numFmtId="0" fontId="6" fillId="0" borderId="1" pivotButton="0" quotePrefix="0" xfId="0"/>
    <xf numFmtId="0" fontId="0" fillId="0" borderId="1" pivotButton="0" quotePrefix="0" xfId="0"/>
    <xf numFmtId="9" fontId="4" fillId="3" borderId="1" applyAlignment="1" pivotButton="0" quotePrefix="0" xfId="0">
      <alignment horizontal="center"/>
    </xf>
    <xf numFmtId="10" fontId="4" fillId="3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3" fontId="4" fillId="3" borderId="1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165" fontId="4" fillId="3" borderId="1" applyAlignment="1" pivotButton="0" quotePrefix="0" xfId="0">
      <alignment horizontal="center"/>
    </xf>
    <xf numFmtId="166" fontId="4" fillId="3" borderId="1" applyAlignment="1" pivotButton="0" quotePrefix="0" xfId="0">
      <alignment horizontal="center"/>
    </xf>
    <xf numFmtId="167" fontId="4" fillId="3" borderId="1" applyAlignment="1" pivotButton="0" quotePrefix="0" xfId="0">
      <alignment horizontal="center"/>
    </xf>
  </cellXfs>
  <cellStyles count="2">
    <cellStyle name="Normal" xfId="0" builtinId="0"/>
    <cellStyle name="Normal 2 3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15"/>
  <sheetViews>
    <sheetView tabSelected="1" topLeftCell="A44" zoomScale="90" zoomScaleNormal="90" workbookViewId="0">
      <selection activeCell="B65" sqref="B65"/>
    </sheetView>
  </sheetViews>
  <sheetFormatPr baseColWidth="8" defaultRowHeight="14.4"/>
  <cols>
    <col width="5" customWidth="1" min="1" max="1"/>
    <col width="22.109375" customWidth="1" min="2" max="2"/>
    <col width="29.44140625" customWidth="1" min="3" max="3"/>
    <col width="22" customWidth="1" min="4" max="4"/>
    <col width="24.88671875" customWidth="1" min="5" max="5"/>
    <col width="22.5546875" customWidth="1" min="6" max="6"/>
    <col width="24.33203125" customWidth="1" min="7" max="7"/>
  </cols>
  <sheetData>
    <row r="1">
      <c r="B1" s="1" t="n"/>
    </row>
    <row r="2">
      <c r="B2" s="2" t="inlineStr">
        <is>
          <t>PROJECT INFORMATION</t>
        </is>
      </c>
    </row>
    <row r="3" ht="15.6" customHeight="1">
      <c r="B3" s="3" t="inlineStr">
        <is>
          <t>Parameter</t>
        </is>
      </c>
      <c r="C3" s="3" t="inlineStr">
        <is>
          <t>Value</t>
        </is>
      </c>
      <c r="D3" s="3" t="inlineStr">
        <is>
          <t>Notes</t>
        </is>
      </c>
    </row>
    <row r="4">
      <c r="B4" s="4" t="inlineStr">
        <is>
          <t>Project Name</t>
        </is>
      </c>
      <c r="C4" s="11" t="inlineStr">
        <is>
          <t>DEMO 220/66/11 kV GIS Substation</t>
        </is>
      </c>
      <c r="D4" s="6" t="inlineStr">
        <is>
          <t>e.g., ND10 Substation</t>
        </is>
      </c>
    </row>
    <row r="5">
      <c r="B5" s="4" t="inlineStr">
        <is>
          <t>Project Start Date</t>
        </is>
      </c>
      <c r="C5" s="12" t="n">
        <v>46023</v>
      </c>
      <c r="D5" s="6" t="inlineStr">
        <is>
          <t>First month of timeline (e.g., Oct-2024)</t>
        </is>
      </c>
    </row>
    <row r="6">
      <c r="B6" s="4" t="inlineStr">
        <is>
          <t>Number of Months</t>
        </is>
      </c>
      <c r="C6" s="5" t="n">
        <v>15</v>
      </c>
      <c r="D6" s="6" t="inlineStr">
        <is>
          <t>Timeline duration</t>
        </is>
      </c>
    </row>
    <row r="7">
      <c r="B7" s="4" t="inlineStr">
        <is>
          <t>USD to EGP Exchange Rate</t>
        </is>
      </c>
      <c r="C7" s="5" t="n">
        <v>47.63</v>
      </c>
      <c r="D7" s="6" t="inlineStr">
        <is>
          <t>For EQU equivalent conversion</t>
        </is>
      </c>
    </row>
    <row r="8">
      <c r="B8" s="4" t="inlineStr">
        <is>
          <t>EUR to EGP Exchange Rate</t>
        </is>
      </c>
      <c r="C8" s="5" t="n">
        <v>55.4747</v>
      </c>
      <c r="D8" s="6" t="inlineStr">
        <is>
          <t>For EQU equivalent conversion</t>
        </is>
      </c>
    </row>
    <row r="9">
      <c r="B9" s="1" t="n"/>
    </row>
    <row r="10">
      <c r="B10" s="1" t="n"/>
    </row>
    <row r="11">
      <c r="B11" s="2" t="inlineStr">
        <is>
          <t>CONTRACT VALUE</t>
        </is>
      </c>
    </row>
    <row r="12" ht="15.6" customHeight="1">
      <c r="B12" s="3" t="inlineStr">
        <is>
          <t>(USD)</t>
        </is>
      </c>
      <c r="C12" s="3" t="inlineStr">
        <is>
          <t>(EUR)</t>
        </is>
      </c>
      <c r="D12" s="3" t="inlineStr">
        <is>
          <t>(EGP)</t>
        </is>
      </c>
    </row>
    <row r="13">
      <c r="B13" s="16" t="n">
        <v>9679087.1</v>
      </c>
      <c r="C13" s="17" t="n">
        <v>1056599.41</v>
      </c>
      <c r="D13" s="18" t="n">
        <v>493381743.93</v>
      </c>
    </row>
    <row r="14">
      <c r="B14" s="15" t="n"/>
      <c r="C14" s="15" t="n"/>
      <c r="D14" s="6" t="n"/>
    </row>
    <row r="15">
      <c r="B15" s="15" t="n"/>
      <c r="C15" s="15" t="n"/>
      <c r="D15" s="6" t="n"/>
    </row>
    <row r="16">
      <c r="B16" s="1" t="n"/>
    </row>
    <row r="17">
      <c r="B17" s="2" t="inlineStr">
        <is>
          <t>CASH IN - PAYMENT TERMS</t>
        </is>
      </c>
    </row>
    <row r="18" ht="31.2" customHeight="1">
      <c r="B18" s="3" t="inlineStr">
        <is>
          <t>Currency / Category</t>
        </is>
      </c>
      <c r="C18" s="3" t="inlineStr">
        <is>
          <t>Milestone</t>
        </is>
      </c>
      <c r="D18" s="3" t="inlineStr">
        <is>
          <t>Percentage (%)</t>
        </is>
      </c>
      <c r="E18" s="3" t="inlineStr">
        <is>
          <t>Cash Duration (Days)</t>
        </is>
      </c>
    </row>
    <row r="19">
      <c r="B19" s="7" t="inlineStr">
        <is>
          <t>Material USD</t>
        </is>
      </c>
      <c r="C19" s="8" t="n"/>
      <c r="D19" s="8" t="n"/>
      <c r="E19" s="8" t="n"/>
    </row>
    <row r="20">
      <c r="C20" s="13" t="inlineStr">
        <is>
          <t>Advanced Payment</t>
        </is>
      </c>
      <c r="D20" s="9" t="n">
        <v>0.2</v>
      </c>
      <c r="E20" s="5" t="n">
        <v>45</v>
      </c>
    </row>
    <row r="21">
      <c r="C21" s="13" t="inlineStr">
        <is>
          <t>Site Delivery USD</t>
        </is>
      </c>
      <c r="D21" s="9" t="n">
        <v>0.7</v>
      </c>
      <c r="E21" s="5" t="n">
        <v>45</v>
      </c>
    </row>
    <row r="22">
      <c r="C22" s="4" t="inlineStr">
        <is>
          <t>Retention</t>
        </is>
      </c>
      <c r="D22" s="9" t="n">
        <v>0.1</v>
      </c>
      <c r="E22" s="5" t="n">
        <v>45</v>
      </c>
    </row>
    <row r="24">
      <c r="B24" s="7" t="inlineStr">
        <is>
          <t>Material EGP</t>
        </is>
      </c>
      <c r="C24" s="8" t="n"/>
      <c r="D24" s="8" t="n"/>
      <c r="E24" s="8" t="n"/>
    </row>
    <row r="25">
      <c r="C25" s="4" t="inlineStr">
        <is>
          <t>Advanced Payment</t>
        </is>
      </c>
      <c r="D25" s="9" t="n">
        <v>0.2</v>
      </c>
      <c r="E25" s="5" t="n">
        <v>45</v>
      </c>
    </row>
    <row r="26">
      <c r="C26" s="13" t="inlineStr">
        <is>
          <t>Site Delivery EGP</t>
        </is>
      </c>
      <c r="D26" s="9" t="n">
        <v>0.7</v>
      </c>
      <c r="E26" s="5" t="n">
        <v>45</v>
      </c>
    </row>
    <row r="27">
      <c r="C27" s="4" t="inlineStr">
        <is>
          <t>Retention</t>
        </is>
      </c>
      <c r="D27" s="9" t="n">
        <v>0.1</v>
      </c>
      <c r="E27" s="5" t="n">
        <v>45</v>
      </c>
    </row>
    <row r="29">
      <c r="B29" s="7" t="inlineStr">
        <is>
          <t>Material EUR</t>
        </is>
      </c>
      <c r="C29" s="8" t="n"/>
      <c r="D29" s="8" t="n"/>
      <c r="E29" s="8" t="n"/>
    </row>
    <row r="30">
      <c r="C30" s="4" t="inlineStr">
        <is>
          <t>Advanced Payment</t>
        </is>
      </c>
      <c r="D30" s="9" t="n">
        <v>0.2</v>
      </c>
      <c r="E30" s="5" t="n">
        <v>45</v>
      </c>
    </row>
    <row r="31">
      <c r="C31" s="4" t="inlineStr">
        <is>
          <t>Site Delivery EUR</t>
        </is>
      </c>
      <c r="D31" s="9" t="n">
        <v>0.7</v>
      </c>
      <c r="E31" s="5" t="n">
        <v>45</v>
      </c>
    </row>
    <row r="32">
      <c r="C32" s="4" t="inlineStr">
        <is>
          <t>Retention</t>
        </is>
      </c>
      <c r="D32" s="9" t="n">
        <v>0.1</v>
      </c>
      <c r="E32" s="5" t="n">
        <v>45</v>
      </c>
    </row>
    <row r="34">
      <c r="B34" s="7" t="inlineStr">
        <is>
          <t>Services EGP</t>
        </is>
      </c>
      <c r="C34" s="8" t="n"/>
      <c r="D34" s="8" t="n"/>
      <c r="E34" s="8" t="n"/>
    </row>
    <row r="35">
      <c r="C35" s="4" t="inlineStr">
        <is>
          <t>Advanced Payment</t>
        </is>
      </c>
      <c r="D35" s="9" t="n">
        <v>0.2</v>
      </c>
      <c r="E35" s="5" t="n">
        <v>45</v>
      </c>
    </row>
    <row r="36">
      <c r="C36" s="13" t="inlineStr">
        <is>
          <t>Progress</t>
        </is>
      </c>
      <c r="D36" s="9" t="n">
        <v>0.7</v>
      </c>
      <c r="E36" s="5" t="n">
        <v>45</v>
      </c>
    </row>
    <row r="37">
      <c r="C37" s="4" t="inlineStr">
        <is>
          <t>Retention</t>
        </is>
      </c>
      <c r="D37" s="9" t="n">
        <v>0.1</v>
      </c>
      <c r="E37" s="5" t="n">
        <v>45</v>
      </c>
    </row>
    <row r="39">
      <c r="B39" s="7" t="inlineStr">
        <is>
          <t>Civil Works EGP</t>
        </is>
      </c>
      <c r="C39" s="8" t="n"/>
      <c r="D39" s="8" t="n"/>
      <c r="E39" s="8" t="n"/>
    </row>
    <row r="40">
      <c r="C40" s="4" t="inlineStr">
        <is>
          <t>Advanced Payment</t>
        </is>
      </c>
      <c r="D40" s="9" t="n">
        <v>0.2</v>
      </c>
      <c r="E40" s="5" t="n">
        <v>45</v>
      </c>
    </row>
    <row r="41">
      <c r="C41" s="4" t="inlineStr">
        <is>
          <t>Progress</t>
        </is>
      </c>
      <c r="D41" s="9" t="n">
        <v>0.7</v>
      </c>
      <c r="E41" s="5" t="n">
        <v>45</v>
      </c>
    </row>
    <row r="42">
      <c r="C42" s="4" t="inlineStr">
        <is>
          <t>Retention</t>
        </is>
      </c>
      <c r="D42" s="9" t="n">
        <v>0.1</v>
      </c>
      <c r="E42" s="5" t="n">
        <v>45</v>
      </c>
    </row>
    <row r="45">
      <c r="B45" s="2" t="inlineStr">
        <is>
          <t>CASH OUT - PAYMENT TERMS</t>
        </is>
      </c>
    </row>
    <row r="46" ht="15.6" customHeight="1">
      <c r="B46" s="3" t="inlineStr">
        <is>
          <t>Currency / Budget Catergory</t>
        </is>
      </c>
      <c r="C46" s="3" t="inlineStr">
        <is>
          <t>Milestone</t>
        </is>
      </c>
      <c r="D46" s="3" t="inlineStr">
        <is>
          <t>Percentage (%)</t>
        </is>
      </c>
      <c r="E46" s="3" t="inlineStr">
        <is>
          <t>Cash Duration (Days)</t>
        </is>
      </c>
    </row>
    <row r="47">
      <c r="B47" s="7" t="inlineStr">
        <is>
          <t>Material USD</t>
        </is>
      </c>
      <c r="C47" s="8" t="n"/>
      <c r="D47" s="8" t="n"/>
      <c r="E47" s="8" t="n"/>
    </row>
    <row r="48">
      <c r="C48" s="4" t="inlineStr">
        <is>
          <t>Advanced Payment PO USD</t>
        </is>
      </c>
      <c r="D48" s="9" t="n">
        <v>0.1</v>
      </c>
      <c r="E48" s="5" t="n">
        <v>0</v>
      </c>
    </row>
    <row r="49">
      <c r="C49" s="4" t="inlineStr">
        <is>
          <t>Shipping MAT USD</t>
        </is>
      </c>
      <c r="D49" s="9" t="n">
        <v>0.4</v>
      </c>
      <c r="E49" s="5" t="n">
        <v>15</v>
      </c>
    </row>
    <row r="50">
      <c r="C50" s="4" t="inlineStr">
        <is>
          <t>Delivery MAT USD</t>
        </is>
      </c>
      <c r="D50" s="9" t="n">
        <v>0.4</v>
      </c>
      <c r="E50" s="5" t="n">
        <v>30</v>
      </c>
    </row>
    <row r="51">
      <c r="C51" s="4" t="inlineStr">
        <is>
          <t>CCC</t>
        </is>
      </c>
      <c r="D51" s="9" t="n">
        <v>0.1</v>
      </c>
      <c r="E51" s="5" t="n">
        <v>0</v>
      </c>
    </row>
    <row r="53">
      <c r="B53" s="7" t="inlineStr">
        <is>
          <t>Material EGP</t>
        </is>
      </c>
      <c r="C53" s="8" t="n"/>
      <c r="D53" s="8" t="n"/>
      <c r="E53" s="8" t="n"/>
    </row>
    <row r="54">
      <c r="C54" s="4" t="inlineStr">
        <is>
          <t>Advanced Payment PO EGP</t>
        </is>
      </c>
      <c r="D54" s="9" t="n">
        <v>0.2</v>
      </c>
      <c r="E54" s="5" t="n">
        <v>0</v>
      </c>
    </row>
    <row r="55">
      <c r="C55" s="4" t="inlineStr">
        <is>
          <t>Site Delivery</t>
        </is>
      </c>
      <c r="D55" s="9" t="n">
        <v>0.8</v>
      </c>
      <c r="E55" s="5" t="n">
        <v>30</v>
      </c>
    </row>
    <row r="57">
      <c r="B57" s="7" t="inlineStr">
        <is>
          <t>Material EUR</t>
        </is>
      </c>
      <c r="C57" s="8" t="n"/>
      <c r="D57" s="8" t="n"/>
      <c r="E57" s="8" t="n"/>
    </row>
    <row r="58">
      <c r="C58" s="4" t="inlineStr">
        <is>
          <t>Advanced Payment PO EUR</t>
        </is>
      </c>
      <c r="D58" s="9" t="n">
        <v>0.1</v>
      </c>
      <c r="E58" s="5" t="n">
        <v>0</v>
      </c>
    </row>
    <row r="59">
      <c r="C59" s="4" t="inlineStr">
        <is>
          <t>Shipping MAT EUR</t>
        </is>
      </c>
      <c r="D59" s="9" t="n">
        <v>0.4</v>
      </c>
      <c r="E59" s="5" t="n">
        <v>15</v>
      </c>
    </row>
    <row r="60">
      <c r="C60" s="4" t="inlineStr">
        <is>
          <t>Delivery MAT EUR</t>
        </is>
      </c>
      <c r="D60" s="9" t="n">
        <v>0.4</v>
      </c>
      <c r="E60" s="5" t="n">
        <v>30</v>
      </c>
    </row>
    <row r="61">
      <c r="C61" s="4" t="inlineStr">
        <is>
          <t>CCC</t>
        </is>
      </c>
      <c r="D61" s="9" t="n">
        <v>0.1</v>
      </c>
      <c r="E61" s="5" t="n">
        <v>0</v>
      </c>
    </row>
    <row r="63">
      <c r="B63" s="7" t="inlineStr">
        <is>
          <t>S/C</t>
        </is>
      </c>
      <c r="C63" s="8" t="n"/>
      <c r="D63" s="8" t="n"/>
      <c r="E63" s="8" t="n"/>
    </row>
    <row r="64">
      <c r="C64" s="4" t="inlineStr">
        <is>
          <t>Advanced Payment Installation</t>
        </is>
      </c>
      <c r="D64" s="9" t="n">
        <v>0.05</v>
      </c>
      <c r="E64" s="5" t="n">
        <v>0</v>
      </c>
    </row>
    <row r="65">
      <c r="C65" s="4" t="inlineStr">
        <is>
          <t>Installation Progress</t>
        </is>
      </c>
      <c r="D65" s="9" t="n">
        <v>0.85</v>
      </c>
      <c r="E65" s="5" t="n">
        <v>30</v>
      </c>
    </row>
    <row r="66">
      <c r="C66" s="4" t="inlineStr">
        <is>
          <t>Subcontractor Retention</t>
        </is>
      </c>
      <c r="D66" s="9" t="n">
        <v>0.1</v>
      </c>
      <c r="E66" s="5" t="n">
        <v>0</v>
      </c>
    </row>
    <row r="68">
      <c r="B68" s="7" t="inlineStr">
        <is>
          <t>SERVICES - EQ - LABOUR</t>
        </is>
      </c>
      <c r="C68" s="8" t="n"/>
      <c r="D68" s="8" t="n"/>
      <c r="E68" s="8" t="n"/>
    </row>
    <row r="69">
      <c r="C69" s="4" t="inlineStr">
        <is>
          <t>Advanced Payment Installation</t>
        </is>
      </c>
      <c r="D69" s="9" t="n">
        <v>0.1</v>
      </c>
      <c r="E69" s="5" t="n">
        <v>0</v>
      </c>
    </row>
    <row r="70">
      <c r="C70" s="4" t="inlineStr">
        <is>
          <t>Progress</t>
        </is>
      </c>
      <c r="D70" s="9" t="n">
        <v>0.9</v>
      </c>
      <c r="E70" s="5" t="n">
        <v>30</v>
      </c>
    </row>
    <row r="72">
      <c r="B72" s="2" t="inlineStr">
        <is>
          <t>CASH IN SUMMARY - DEDUCTIONS</t>
        </is>
      </c>
    </row>
    <row r="73" ht="15.6" customHeight="1">
      <c r="B73" s="3" t="inlineStr">
        <is>
          <t>Deduction Type</t>
        </is>
      </c>
      <c r="C73" s="3" t="inlineStr">
        <is>
          <t>Percentage (%)</t>
        </is>
      </c>
      <c r="D73" s="3" t="inlineStr">
        <is>
          <t>Notes</t>
        </is>
      </c>
    </row>
    <row r="74">
      <c r="B74" s="4" t="inlineStr">
        <is>
          <t>VAT</t>
        </is>
      </c>
      <c r="C74" s="10" t="n">
        <v>0</v>
      </c>
      <c r="D74" s="6" t="inlineStr">
        <is>
          <t>Applied on gross invoicing</t>
        </is>
      </c>
    </row>
    <row r="75">
      <c r="B75" s="4" t="inlineStr">
        <is>
          <t>Advanced Payment Deduction (AP)</t>
        </is>
      </c>
      <c r="C75" s="10" t="n">
        <v>0</v>
      </c>
      <c r="D75" s="6" t="inlineStr">
        <is>
          <t>Deducted from each invoice</t>
        </is>
      </c>
    </row>
    <row r="76">
      <c r="B76" s="4" t="inlineStr">
        <is>
          <t>Stamp Duties &amp; Additional Stamp Duties</t>
        </is>
      </c>
      <c r="C76" s="10" t="n">
        <v>0</v>
      </c>
      <c r="D76" s="6" t="inlineStr">
        <is>
          <t>On net before VAT</t>
        </is>
      </c>
    </row>
    <row r="77">
      <c r="B77" s="4" t="inlineStr">
        <is>
          <t>Governmental Deductions</t>
        </is>
      </c>
      <c r="C77" s="10" t="n">
        <v>0.008999999999999574</v>
      </c>
      <c r="D77" s="6" t="n"/>
    </row>
    <row r="78">
      <c r="B78" s="4" t="inlineStr">
        <is>
          <t>Viva Egypt</t>
        </is>
      </c>
      <c r="C78" s="10" t="n">
        <v>0</v>
      </c>
      <c r="D78" s="6" t="n"/>
    </row>
    <row r="81">
      <c r="B81" s="2" t="inlineStr">
        <is>
          <t>CASH OUT - INDIRECT COSTS</t>
        </is>
      </c>
    </row>
    <row r="82">
      <c r="B82" s="6" t="inlineStr">
        <is>
          <t>These are fixed-value line items in the Cash Out sheet. Enter the total budget for each.</t>
        </is>
      </c>
    </row>
    <row r="83" ht="15.6" customHeight="1">
      <c r="B83" s="3" t="inlineStr">
        <is>
          <t>Indirect Cost Item</t>
        </is>
      </c>
      <c r="C83" s="3" t="inlineStr">
        <is>
          <t>Total Budget (EGP)</t>
        </is>
      </c>
      <c r="D83" s="3" t="inlineStr">
        <is>
          <t>Notes</t>
        </is>
      </c>
    </row>
    <row r="84">
      <c r="B84" s="4" t="inlineStr">
        <is>
          <t>1. STAFF SALARIES AND WAGES</t>
        </is>
      </c>
      <c r="C84" s="14" t="n">
        <v>13553062</v>
      </c>
      <c r="D84" s="6" t="n"/>
    </row>
    <row r="85">
      <c r="B85" s="4" t="inlineStr">
        <is>
          <t>2. EMPLOYER AND/OR ENGINEER REQUIREMENTS</t>
        </is>
      </c>
      <c r="C85" s="14" t="n">
        <v>441458.3333333333</v>
      </c>
      <c r="D85" s="6" t="n"/>
    </row>
    <row r="86">
      <c r="B86" s="4" t="inlineStr">
        <is>
          <t>3. CONTRACTOR OFFICES AND SITE FACILITIES</t>
        </is>
      </c>
      <c r="C86" s="14" t="n">
        <v>3354125</v>
      </c>
      <c r="D86" s="6" t="n"/>
    </row>
    <row r="87">
      <c r="B87" s="4" t="inlineStr">
        <is>
          <t>4. ACCOMMODATION</t>
        </is>
      </c>
      <c r="C87" s="14" t="n">
        <v>2926250</v>
      </c>
      <c r="D87" s="6" t="n"/>
    </row>
    <row r="88">
      <c r="B88" s="4" t="inlineStr">
        <is>
          <t>5. MOBILIZATION AND DE-MOBILIZATION</t>
        </is>
      </c>
      <c r="C88" s="14" t="n">
        <v>160000</v>
      </c>
      <c r="D88" s="6" t="n"/>
    </row>
    <row r="89">
      <c r="B89" s="4" t="inlineStr">
        <is>
          <t>6. IT &amp; COMMUNICATIONS</t>
        </is>
      </c>
      <c r="C89" s="14" t="n">
        <v>147083.3333333333</v>
      </c>
      <c r="D89" s="6" t="n"/>
    </row>
    <row r="90">
      <c r="B90" s="4" t="inlineStr">
        <is>
          <t>7. TRANSPORTATIONS</t>
        </is>
      </c>
      <c r="C90" s="14" t="n">
        <v>6000000</v>
      </c>
      <c r="D90" s="6" t="n"/>
    </row>
    <row r="91">
      <c r="B91" s="4" t="inlineStr">
        <is>
          <t>8. GENERAL SITE EQUIPMENT</t>
        </is>
      </c>
      <c r="C91" s="14" t="n">
        <v>0</v>
      </c>
      <c r="D91" s="6" t="n"/>
    </row>
    <row r="92">
      <c r="B92" s="4" t="inlineStr">
        <is>
          <t>9. SAFETY AND QUALITY REQUIREMENTS</t>
        </is>
      </c>
      <c r="C92" s="14" t="n">
        <v>647500</v>
      </c>
      <c r="D92" s="6" t="n"/>
    </row>
    <row r="93">
      <c r="B93" s="4" t="inlineStr">
        <is>
          <t>10. CONSULTANCIES</t>
        </is>
      </c>
      <c r="C93" s="14" t="n">
        <v>213325</v>
      </c>
      <c r="D93" s="6" t="n"/>
    </row>
    <row r="94">
      <c r="B94" s="4" t="inlineStr">
        <is>
          <t>10. WARRANITY PERIOD COST</t>
        </is>
      </c>
      <c r="C94" s="14" t="n">
        <v>300000</v>
      </c>
      <c r="D94" s="6" t="n"/>
    </row>
    <row r="97">
      <c r="B97" s="2" t="inlineStr">
        <is>
          <t>CASH OUT - PROJECT OVERHEADS</t>
        </is>
      </c>
    </row>
    <row r="98">
      <c r="B98" s="6" t="inlineStr">
        <is>
          <t>Percentage-based costs applied on total contract value, distributed across project timeline.</t>
        </is>
      </c>
    </row>
    <row r="99" ht="15.6" customHeight="1">
      <c r="B99" s="3" t="inlineStr">
        <is>
          <t>Overhead Type</t>
        </is>
      </c>
      <c r="C99" s="3" t="inlineStr">
        <is>
          <t>Percentage (%)</t>
        </is>
      </c>
      <c r="D99" s="3" t="inlineStr">
        <is>
          <t>Applied On</t>
        </is>
      </c>
      <c r="E99" s="3" t="inlineStr">
        <is>
          <t>(USD)</t>
        </is>
      </c>
      <c r="F99" s="3" t="inlineStr">
        <is>
          <t>(EUR)</t>
        </is>
      </c>
      <c r="G99" s="3" t="inlineStr">
        <is>
          <t>(EGP)</t>
        </is>
      </c>
    </row>
    <row r="100">
      <c r="B100" s="4" t="inlineStr">
        <is>
          <t>INSURANCE POLICIES</t>
        </is>
      </c>
      <c r="C100" s="10" t="n">
        <v>0.005</v>
      </c>
      <c r="D100" s="6" t="inlineStr">
        <is>
          <t>Total contract value</t>
        </is>
      </c>
      <c r="E100" s="16">
        <f>C100*$B$13</f>
        <v/>
      </c>
      <c r="F100" s="17">
        <f>C100*$C$13</f>
        <v/>
      </c>
      <c r="G100" s="18">
        <f>C100*$D$13</f>
        <v/>
      </c>
    </row>
    <row r="101">
      <c r="B101" s="4" t="inlineStr">
        <is>
          <t>ADVANCE PAYMENT COST</t>
        </is>
      </c>
      <c r="C101" s="10" t="n">
        <v>0.001000000000007968</v>
      </c>
      <c r="D101" s="6" t="inlineStr">
        <is>
          <t>Total contract value</t>
        </is>
      </c>
      <c r="E101" s="16">
        <f>C101*$B$13</f>
        <v/>
      </c>
      <c r="F101" s="17">
        <f>C101*$C$13</f>
        <v/>
      </c>
      <c r="G101" s="18">
        <f>C101*$D$13</f>
        <v/>
      </c>
    </row>
    <row r="102">
      <c r="B102" s="4" t="inlineStr">
        <is>
          <t>PERFORMANCE BOND COST</t>
        </is>
      </c>
      <c r="C102" s="10" t="n">
        <v>0.002600000000020719</v>
      </c>
      <c r="D102" s="6" t="inlineStr">
        <is>
          <t>Total contract value</t>
        </is>
      </c>
      <c r="E102" s="16">
        <f>C102*$B$13</f>
        <v/>
      </c>
      <c r="F102" s="17">
        <f>C102*$C$13</f>
        <v/>
      </c>
      <c r="G102" s="18">
        <f>C102*$D$13</f>
        <v/>
      </c>
    </row>
    <row r="103">
      <c r="B103" s="4" t="inlineStr">
        <is>
          <t>RETENTION COST</t>
        </is>
      </c>
      <c r="C103" s="10" t="n">
        <v>0.02640000000021037</v>
      </c>
      <c r="D103" s="6" t="inlineStr">
        <is>
          <t>Total contract value</t>
        </is>
      </c>
      <c r="E103" s="16">
        <f>C103*$B$13</f>
        <v/>
      </c>
      <c r="F103" s="17">
        <f>C103*$C$13</f>
        <v/>
      </c>
      <c r="G103" s="18">
        <f>C103*$D$13</f>
        <v/>
      </c>
    </row>
    <row r="104">
      <c r="B104" s="4" t="inlineStr">
        <is>
          <t>SOCIAL INSURANCE</t>
        </is>
      </c>
      <c r="C104" s="10" t="n">
        <v>0.01300000000010359</v>
      </c>
      <c r="D104" s="6" t="inlineStr">
        <is>
          <t>Total contract value</t>
        </is>
      </c>
      <c r="E104" s="16">
        <f>C104*$B$13</f>
        <v/>
      </c>
      <c r="F104" s="17">
        <f>C104*$C$13</f>
        <v/>
      </c>
      <c r="G104" s="18">
        <f>C104*$D$13</f>
        <v/>
      </c>
    </row>
    <row r="105">
      <c r="B105" s="4" t="inlineStr">
        <is>
          <t>CASUAL LABOR TAX</t>
        </is>
      </c>
      <c r="C105" s="10" t="n">
        <v>0.004500000000035858</v>
      </c>
      <c r="D105" s="6" t="inlineStr">
        <is>
          <t>Total contract value</t>
        </is>
      </c>
      <c r="E105" s="16">
        <f>C105*$B$13</f>
        <v/>
      </c>
      <c r="F105" s="17">
        <f>C105*$C$13</f>
        <v/>
      </c>
      <c r="G105" s="18">
        <f>C105*$D$13</f>
        <v/>
      </c>
    </row>
    <row r="106">
      <c r="B106" s="4" t="inlineStr">
        <is>
          <t>STAMP DUTIES &amp; ADDITIONAL STAMP DUTIES 2.43%</t>
        </is>
      </c>
      <c r="C106" s="10" t="n">
        <v>0</v>
      </c>
      <c r="D106" s="6" t="inlineStr">
        <is>
          <t>Total contract value</t>
        </is>
      </c>
      <c r="E106" s="16">
        <f>C106*$B$13</f>
        <v/>
      </c>
      <c r="F106" s="17">
        <f>C106*$C$13</f>
        <v/>
      </c>
      <c r="G106" s="18">
        <f>C106*$D$13</f>
        <v/>
      </c>
    </row>
    <row r="107">
      <c r="B107" s="4" t="inlineStr">
        <is>
          <t>GOVERNMENTAL DEDUCTIONS 0.9%</t>
        </is>
      </c>
      <c r="C107" s="10" t="n">
        <v>0.009000000000071716</v>
      </c>
      <c r="D107" s="6" t="inlineStr">
        <is>
          <t>Total contract value</t>
        </is>
      </c>
      <c r="E107" s="16">
        <f>C107*$B$13</f>
        <v/>
      </c>
      <c r="F107" s="17">
        <f>C107*$C$13</f>
        <v/>
      </c>
      <c r="G107" s="18">
        <f>C107*$D$13</f>
        <v/>
      </c>
    </row>
    <row r="108">
      <c r="B108" s="4" t="inlineStr">
        <is>
          <t>VIVA EGYPT 1%</t>
        </is>
      </c>
      <c r="C108" s="10" t="n">
        <v>0</v>
      </c>
      <c r="D108" s="6" t="inlineStr">
        <is>
          <t>Total contract value</t>
        </is>
      </c>
      <c r="E108" s="16">
        <f>C108*$B$13</f>
        <v/>
      </c>
      <c r="F108" s="17">
        <f>C108*$C$13</f>
        <v/>
      </c>
      <c r="G108" s="18">
        <f>C108*$D$13</f>
        <v/>
      </c>
    </row>
    <row r="111">
      <c r="B111" s="2" t="inlineStr">
        <is>
          <t>CASH OUT - RISKS &amp; CONTINGENCIES</t>
        </is>
      </c>
    </row>
    <row r="112">
      <c r="B112" s="6" t="inlineStr">
        <is>
          <t>Fixed-value items for project risk reserves and company overheads.</t>
        </is>
      </c>
    </row>
    <row r="113" ht="15.6" customHeight="1">
      <c r="B113" s="3" t="inlineStr">
        <is>
          <t>Item</t>
        </is>
      </c>
      <c r="C113" s="3" t="inlineStr">
        <is>
          <t>Total Budget</t>
        </is>
      </c>
      <c r="D113" s="3" t="inlineStr">
        <is>
          <t>Notes</t>
        </is>
      </c>
      <c r="E113" s="3" t="inlineStr">
        <is>
          <t>(USD)</t>
        </is>
      </c>
      <c r="F113" s="3" t="inlineStr">
        <is>
          <t>(EUR)</t>
        </is>
      </c>
      <c r="G113" s="3" t="inlineStr">
        <is>
          <t>(EGP)</t>
        </is>
      </c>
    </row>
    <row r="114">
      <c r="B114" s="4" t="inlineStr">
        <is>
          <t>RISKS &amp; CONTINGENCIES</t>
        </is>
      </c>
      <c r="C114" s="10" t="n">
        <v>0.02</v>
      </c>
      <c r="D114" s="6" t="inlineStr">
        <is>
          <t>Project risk reserve</t>
        </is>
      </c>
      <c r="E114" s="16">
        <f>C114*$B$13</f>
        <v/>
      </c>
      <c r="F114" s="17">
        <f>C114*$C$13</f>
        <v/>
      </c>
      <c r="G114" s="18">
        <f>C114*$D$13</f>
        <v/>
      </c>
    </row>
    <row r="115">
      <c r="B115" s="4" t="inlineStr">
        <is>
          <t>COMPANY OVERHEADS</t>
        </is>
      </c>
      <c r="C115" s="10" t="n">
        <v>0.04000000000031875</v>
      </c>
      <c r="D115" s="6" t="inlineStr">
        <is>
          <t>Corporate overhead allocation</t>
        </is>
      </c>
      <c r="E115" s="16">
        <f>C115*$B$13</f>
        <v/>
      </c>
      <c r="F115" s="17">
        <f>C115*$C$13</f>
        <v/>
      </c>
      <c r="G115" s="18">
        <f>C115*$D$13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2026-04-04T14:25:41Z</dcterms:created>
  <dcterms:modified xsi:type="dcterms:W3CDTF">2026-08-22T19:50:12Z</dcterms:modified>
  <cp:lastModifiedBy>Ganna Abdelaziz</cp:lastModifiedBy>
</cp:coreProperties>
</file>